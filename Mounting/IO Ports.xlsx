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phj0\Documents\GitHub\HV-Battery-Board\Mounting\"/>
    </mc:Choice>
  </mc:AlternateContent>
  <xr:revisionPtr revIDLastSave="0" documentId="13_ncr:1_{2E554CA9-C9BB-4499-818B-F6984ABA16CA}" xr6:coauthVersionLast="47" xr6:coauthVersionMax="47" xr10:uidLastSave="{00000000-0000-0000-0000-000000000000}"/>
  <bookViews>
    <workbookView xWindow="-150" yWindow="-21780" windowWidth="38760" windowHeight="21240" activeTab="3" xr2:uid="{00000000-000D-0000-FFFF-FFFF00000000}"/>
  </bookViews>
  <sheets>
    <sheet name="External" sheetId="1" r:id="rId1"/>
    <sheet name="CAN BUS" sheetId="3" r:id="rId2"/>
    <sheet name="Sheet2" sheetId="4" r:id="rId3"/>
    <sheet name="Interna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C11" i="3"/>
  <c r="D11" i="3" s="1"/>
  <c r="C12" i="3"/>
  <c r="D12" i="3" s="1"/>
  <c r="C13" i="3"/>
  <c r="D13" i="3" s="1"/>
  <c r="C10" i="3"/>
  <c r="D15" i="3" l="1"/>
</calcChain>
</file>

<file path=xl/sharedStrings.xml><?xml version="1.0" encoding="utf-8"?>
<sst xmlns="http://schemas.openxmlformats.org/spreadsheetml/2006/main" count="118" uniqueCount="82">
  <si>
    <t>Connector</t>
  </si>
  <si>
    <t>GND</t>
  </si>
  <si>
    <t>Motor Controller</t>
  </si>
  <si>
    <t>Supp Battery</t>
  </si>
  <si>
    <t>MPPT</t>
  </si>
  <si>
    <t>24V Out</t>
  </si>
  <si>
    <t>XT60</t>
  </si>
  <si>
    <t>ELPA2A1601</t>
  </si>
  <si>
    <t>ELRA2U1601</t>
  </si>
  <si>
    <t>ELP2Y03</t>
  </si>
  <si>
    <t>ELR2Y03</t>
  </si>
  <si>
    <t>Batt+</t>
  </si>
  <si>
    <t>Batt-</t>
  </si>
  <si>
    <t>IsoSPI</t>
  </si>
  <si>
    <t>4P Fans</t>
  </si>
  <si>
    <t>PV1</t>
  </si>
  <si>
    <t>PV2</t>
  </si>
  <si>
    <t>PV3</t>
  </si>
  <si>
    <t>3.3V</t>
  </si>
  <si>
    <t>HV_Arm</t>
  </si>
  <si>
    <t>BPS_GND</t>
  </si>
  <si>
    <t>LVESTOP</t>
  </si>
  <si>
    <t>HV ESTOP</t>
  </si>
  <si>
    <t>Coil1</t>
  </si>
  <si>
    <t>Coil2</t>
  </si>
  <si>
    <t>Coil3</t>
  </si>
  <si>
    <t>24V</t>
  </si>
  <si>
    <t>12V_CAN</t>
  </si>
  <si>
    <t>Destination</t>
  </si>
  <si>
    <t>MC</t>
  </si>
  <si>
    <t>Supp</t>
  </si>
  <si>
    <t>MPPT Breakout</t>
  </si>
  <si>
    <t>Driver Board</t>
  </si>
  <si>
    <t>Telemetry Board</t>
  </si>
  <si>
    <t>Button Interface</t>
  </si>
  <si>
    <t>Marketplace</t>
  </si>
  <si>
    <t>Digikey</t>
  </si>
  <si>
    <t>Amazon</t>
  </si>
  <si>
    <t>Link</t>
  </si>
  <si>
    <t>https://www.amazon.com/XT60E-F-Connector-Protective-Aircraft-Accessories/dp/B0BC5TK8FT/ref=sr_1_3?dib=eyJ2IjoiMSJ9.3czCEzUCGYl5_r1K2CFElqxxGlhDvhD0kFZ5jHjxBPi2lZAIB4S00hbyFXExMjBecgpgfHMSUDGmEbF7RYznn2YeVQre-ZJBS68CQynG2_XTzhoCf2cakHAk7Fx-n-4IMAVZXFbuMk17tOqATD2CuibZmmZmsl0Nb6HgDoMsuXWBi3_Z5yWyhe4FkG3gk6gGzQz-Srqva9wpDhzID2q1Gd5tXfNt9Nu00P9xJIsfNzA05xy42htsMC1goKiFrIX5Smevp2dXR0GYbXOvDCtpq3QlW42NNMIj1uxUYwQLfi8.B13NipQCtnxS6uTgsMsk6YzCti5V0zFcVKJJyed3MGo&amp;dib_tag=se&amp;keywords=xt60%2Bpanel%2Bmount&amp;qid=1782240406&amp;sr=8-3&amp;th=1</t>
  </si>
  <si>
    <t>CAN Main IN (3P)</t>
  </si>
  <si>
    <t>CAN MAIN OUT (3P)</t>
  </si>
  <si>
    <t>CAN MPPT (3P)</t>
  </si>
  <si>
    <t>Already owned</t>
  </si>
  <si>
    <t>10 Molex Mini Fit</t>
  </si>
  <si>
    <t>Already Owned</t>
  </si>
  <si>
    <t>6P Molex Minifit</t>
  </si>
  <si>
    <t>Socket</t>
  </si>
  <si>
    <t>Socket Pins</t>
  </si>
  <si>
    <t>Plug</t>
  </si>
  <si>
    <t>Plug Pins</t>
  </si>
  <si>
    <t>Qty</t>
  </si>
  <si>
    <t>Single Connector</t>
  </si>
  <si>
    <t>DPN</t>
  </si>
  <si>
    <t>Price</t>
  </si>
  <si>
    <t>Total</t>
  </si>
  <si>
    <t>Sku</t>
  </si>
  <si>
    <t>White \</t>
  </si>
  <si>
    <t>20 ft</t>
  </si>
  <si>
    <t>SKU: NNC2549X</t>
  </si>
  <si>
    <t>Red</t>
  </si>
  <si>
    <t>30 ft</t>
  </si>
  <si>
    <t>Black</t>
  </si>
  <si>
    <t>SKU: NNC2548X</t>
  </si>
  <si>
    <t>SKU: NNC2546X</t>
  </si>
  <si>
    <t>03T-JWPF-VSLE-S</t>
  </si>
  <si>
    <t>03R-JWPF-VSLE-S</t>
  </si>
  <si>
    <t>SWPT-001T-P025</t>
  </si>
  <si>
    <t>SWPR-001T-P025</t>
  </si>
  <si>
    <t>455-1188-ND</t>
  </si>
  <si>
    <t>455-1320-1-ND</t>
  </si>
  <si>
    <t>455-1198-ND</t>
  </si>
  <si>
    <t>455-1321TR-ND</t>
  </si>
  <si>
    <t>Connectors</t>
  </si>
  <si>
    <t>Total:</t>
  </si>
  <si>
    <t>Ring Terminal</t>
  </si>
  <si>
    <t>MPPT Micro Fit</t>
  </si>
  <si>
    <t>MPPT Terminal Blocks</t>
  </si>
  <si>
    <t>WM1847-ND</t>
  </si>
  <si>
    <t>WM1839-ND</t>
  </si>
  <si>
    <t>277-8714-ND</t>
  </si>
  <si>
    <t>WM1785-ND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</si>
</sst>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46"/>
  <sheetViews>
    <sheetView workbookViewId="0">
      <selection activeCell="A23" sqref="A23"/>
    </sheetView>
  </sheetViews>
  <sheetFormatPr defaultRowHeight="14.6" x14ac:dyDescent="0.4"/>
  <cols>
    <col min="1" max="1" width="14.15234375" customWidth="1"/>
    <col min="3" max="3" width="14.921875" customWidth="1"/>
    <col min="4" max="4" width="20.4609375" customWidth="1"/>
  </cols>
  <sheetData>
    <row r="4" spans="1:5" x14ac:dyDescent="0.4">
      <c r="D4" s="1"/>
    </row>
    <row r="5" spans="1:5" x14ac:dyDescent="0.4">
      <c r="D5" s="1"/>
    </row>
    <row r="6" spans="1:5" x14ac:dyDescent="0.4">
      <c r="D6" s="1"/>
    </row>
    <row r="7" spans="1:5" x14ac:dyDescent="0.4">
      <c r="D7" s="1"/>
    </row>
    <row r="8" spans="1:5" x14ac:dyDescent="0.4">
      <c r="D8" s="1"/>
    </row>
    <row r="9" spans="1:5" x14ac:dyDescent="0.4">
      <c r="B9" t="s">
        <v>0</v>
      </c>
      <c r="C9" t="s">
        <v>28</v>
      </c>
      <c r="D9" s="1" t="s">
        <v>35</v>
      </c>
      <c r="E9" s="1" t="s">
        <v>38</v>
      </c>
    </row>
    <row r="11" spans="1:5" x14ac:dyDescent="0.4">
      <c r="A11" t="s">
        <v>2</v>
      </c>
      <c r="B11" t="s">
        <v>7</v>
      </c>
      <c r="C11" t="s">
        <v>29</v>
      </c>
      <c r="D11" t="s">
        <v>36</v>
      </c>
    </row>
    <row r="12" spans="1:5" x14ac:dyDescent="0.4">
      <c r="B12" t="s">
        <v>8</v>
      </c>
      <c r="C12" t="s">
        <v>29</v>
      </c>
      <c r="D12" t="s">
        <v>36</v>
      </c>
    </row>
    <row r="13" spans="1:5" x14ac:dyDescent="0.4">
      <c r="A13" t="s">
        <v>3</v>
      </c>
      <c r="B13" t="s">
        <v>6</v>
      </c>
      <c r="C13" t="s">
        <v>30</v>
      </c>
      <c r="D13" t="s">
        <v>37</v>
      </c>
      <c r="E13" t="s">
        <v>39</v>
      </c>
    </row>
    <row r="15" spans="1:5" x14ac:dyDescent="0.4">
      <c r="A15" t="s">
        <v>4</v>
      </c>
      <c r="B15" t="s">
        <v>9</v>
      </c>
      <c r="C15" t="s">
        <v>31</v>
      </c>
      <c r="D15" t="s">
        <v>36</v>
      </c>
    </row>
    <row r="16" spans="1:5" x14ac:dyDescent="0.4">
      <c r="B16" t="s">
        <v>10</v>
      </c>
      <c r="C16" t="s">
        <v>31</v>
      </c>
      <c r="D16" t="s">
        <v>36</v>
      </c>
    </row>
    <row r="19" spans="1:4" x14ac:dyDescent="0.4">
      <c r="A19" t="s">
        <v>40</v>
      </c>
      <c r="B19" s="1"/>
      <c r="C19" t="s">
        <v>33</v>
      </c>
    </row>
    <row r="20" spans="1:4" x14ac:dyDescent="0.4">
      <c r="A20" t="s">
        <v>41</v>
      </c>
      <c r="B20" s="1"/>
      <c r="C20" t="s">
        <v>32</v>
      </c>
    </row>
    <row r="21" spans="1:4" x14ac:dyDescent="0.4">
      <c r="A21" t="s">
        <v>42</v>
      </c>
      <c r="C21" t="s">
        <v>4</v>
      </c>
    </row>
    <row r="23" spans="1:4" x14ac:dyDescent="0.4">
      <c r="A23" t="s">
        <v>5</v>
      </c>
    </row>
    <row r="28" spans="1:4" x14ac:dyDescent="0.4">
      <c r="A28" t="s">
        <v>1</v>
      </c>
      <c r="B28" s="2" t="s">
        <v>44</v>
      </c>
      <c r="C28" t="s">
        <v>34</v>
      </c>
      <c r="D28" s="2" t="s">
        <v>43</v>
      </c>
    </row>
    <row r="29" spans="1:4" x14ac:dyDescent="0.4">
      <c r="A29" t="s">
        <v>15</v>
      </c>
      <c r="B29" s="2"/>
      <c r="C29" t="s">
        <v>34</v>
      </c>
      <c r="D29" s="2"/>
    </row>
    <row r="30" spans="1:4" x14ac:dyDescent="0.4">
      <c r="A30" t="s">
        <v>16</v>
      </c>
      <c r="B30" s="2"/>
      <c r="C30" t="s">
        <v>34</v>
      </c>
      <c r="D30" s="2"/>
    </row>
    <row r="31" spans="1:4" x14ac:dyDescent="0.4">
      <c r="A31" t="s">
        <v>17</v>
      </c>
      <c r="B31" s="2"/>
      <c r="C31" t="s">
        <v>34</v>
      </c>
      <c r="D31" s="2"/>
    </row>
    <row r="32" spans="1:4" x14ac:dyDescent="0.4">
      <c r="A32" t="s">
        <v>18</v>
      </c>
      <c r="B32" s="2"/>
      <c r="C32" t="s">
        <v>34</v>
      </c>
      <c r="D32" s="2"/>
    </row>
    <row r="33" spans="1:4" x14ac:dyDescent="0.4">
      <c r="A33" t="s">
        <v>19</v>
      </c>
      <c r="B33" s="2"/>
      <c r="C33" t="s">
        <v>34</v>
      </c>
      <c r="D33" s="2"/>
    </row>
    <row r="34" spans="1:4" x14ac:dyDescent="0.4">
      <c r="A34" t="s">
        <v>20</v>
      </c>
      <c r="B34" s="2"/>
      <c r="C34" t="s">
        <v>34</v>
      </c>
      <c r="D34" s="2"/>
    </row>
    <row r="35" spans="1:4" x14ac:dyDescent="0.4">
      <c r="B35" s="2"/>
      <c r="D35" s="2"/>
    </row>
    <row r="36" spans="1:4" x14ac:dyDescent="0.4">
      <c r="A36" t="s">
        <v>21</v>
      </c>
      <c r="B36" s="2"/>
      <c r="C36" t="s">
        <v>34</v>
      </c>
      <c r="D36" s="2"/>
    </row>
    <row r="37" spans="1:4" x14ac:dyDescent="0.4">
      <c r="A37" t="s">
        <v>1</v>
      </c>
      <c r="B37" s="2"/>
      <c r="C37" t="s">
        <v>34</v>
      </c>
      <c r="D37" s="2"/>
    </row>
    <row r="38" spans="1:4" x14ac:dyDescent="0.4">
      <c r="A38" t="s">
        <v>22</v>
      </c>
      <c r="B38" s="2"/>
      <c r="C38" t="s">
        <v>34</v>
      </c>
      <c r="D38" s="2"/>
    </row>
    <row r="39" spans="1:4" x14ac:dyDescent="0.4">
      <c r="A39" t="s">
        <v>18</v>
      </c>
      <c r="B39" s="2"/>
      <c r="C39" t="s">
        <v>34</v>
      </c>
      <c r="D39" s="2"/>
    </row>
    <row r="41" spans="1:4" x14ac:dyDescent="0.4">
      <c r="A41" t="s">
        <v>23</v>
      </c>
      <c r="B41" s="2" t="s">
        <v>46</v>
      </c>
      <c r="C41" t="s">
        <v>31</v>
      </c>
      <c r="D41" s="2" t="s">
        <v>45</v>
      </c>
    </row>
    <row r="42" spans="1:4" x14ac:dyDescent="0.4">
      <c r="A42" t="s">
        <v>24</v>
      </c>
      <c r="B42" s="2"/>
      <c r="C42" t="s">
        <v>31</v>
      </c>
      <c r="D42" s="2"/>
    </row>
    <row r="43" spans="1:4" x14ac:dyDescent="0.4">
      <c r="A43" t="s">
        <v>25</v>
      </c>
      <c r="B43" s="2"/>
      <c r="C43" t="s">
        <v>31</v>
      </c>
      <c r="D43" s="2"/>
    </row>
    <row r="44" spans="1:4" x14ac:dyDescent="0.4">
      <c r="A44" t="s">
        <v>26</v>
      </c>
      <c r="B44" s="2"/>
      <c r="C44" t="s">
        <v>31</v>
      </c>
      <c r="D44" s="2"/>
    </row>
    <row r="45" spans="1:4" x14ac:dyDescent="0.4">
      <c r="A45" t="s">
        <v>27</v>
      </c>
      <c r="B45" s="2"/>
      <c r="C45" t="s">
        <v>31</v>
      </c>
      <c r="D45" s="2"/>
    </row>
    <row r="46" spans="1:4" x14ac:dyDescent="0.4">
      <c r="A46" t="s">
        <v>1</v>
      </c>
      <c r="B46" s="2"/>
      <c r="C46" t="s">
        <v>31</v>
      </c>
      <c r="D46" s="2"/>
    </row>
  </sheetData>
  <mergeCells count="4">
    <mergeCell ref="D41:D46"/>
    <mergeCell ref="B41:B46"/>
    <mergeCell ref="D28:D39"/>
    <mergeCell ref="B28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2BBC-F994-4562-977C-2AE88BDFC0D4}">
  <dimension ref="A1:F15"/>
  <sheetViews>
    <sheetView workbookViewId="0">
      <selection activeCell="A10" sqref="A10"/>
    </sheetView>
  </sheetViews>
  <sheetFormatPr defaultRowHeight="14.6" x14ac:dyDescent="0.4"/>
  <cols>
    <col min="1" max="1" width="17.61328125" customWidth="1"/>
  </cols>
  <sheetData>
    <row r="1" spans="1:6" x14ac:dyDescent="0.4">
      <c r="A1" t="s">
        <v>52</v>
      </c>
    </row>
    <row r="2" spans="1:6" x14ac:dyDescent="0.4">
      <c r="B2" t="s">
        <v>56</v>
      </c>
      <c r="C2" t="s">
        <v>51</v>
      </c>
      <c r="D2" t="s">
        <v>53</v>
      </c>
      <c r="E2" t="s">
        <v>54</v>
      </c>
      <c r="F2" t="s">
        <v>55</v>
      </c>
    </row>
    <row r="4" spans="1:6" ht="24" x14ac:dyDescent="0.4">
      <c r="A4" t="s">
        <v>47</v>
      </c>
      <c r="B4" s="3" t="s">
        <v>65</v>
      </c>
      <c r="C4">
        <v>1</v>
      </c>
      <c r="D4" t="s">
        <v>69</v>
      </c>
      <c r="E4">
        <v>1.24</v>
      </c>
    </row>
    <row r="5" spans="1:6" x14ac:dyDescent="0.4">
      <c r="A5" t="s">
        <v>48</v>
      </c>
      <c r="B5" t="s">
        <v>67</v>
      </c>
      <c r="C5">
        <v>2</v>
      </c>
      <c r="D5" t="s">
        <v>70</v>
      </c>
      <c r="E5">
        <v>6.3E-2</v>
      </c>
    </row>
    <row r="6" spans="1:6" x14ac:dyDescent="0.4">
      <c r="A6" t="s">
        <v>49</v>
      </c>
      <c r="B6" t="s">
        <v>66</v>
      </c>
      <c r="C6">
        <v>1</v>
      </c>
      <c r="D6" t="s">
        <v>71</v>
      </c>
      <c r="E6">
        <v>0.64</v>
      </c>
    </row>
    <row r="7" spans="1:6" x14ac:dyDescent="0.4">
      <c r="A7" t="s">
        <v>50</v>
      </c>
      <c r="B7" t="s">
        <v>68</v>
      </c>
      <c r="C7">
        <v>2</v>
      </c>
      <c r="D7" t="s">
        <v>72</v>
      </c>
      <c r="E7">
        <v>0.04</v>
      </c>
    </row>
    <row r="9" spans="1:6" x14ac:dyDescent="0.4">
      <c r="A9">
        <v>20</v>
      </c>
      <c r="B9" t="s">
        <v>73</v>
      </c>
    </row>
    <row r="10" spans="1:6" ht="24" x14ac:dyDescent="0.4">
      <c r="A10" t="s">
        <v>47</v>
      </c>
      <c r="B10" s="3" t="s">
        <v>65</v>
      </c>
      <c r="C10">
        <f>C4*$A$9</f>
        <v>20</v>
      </c>
      <c r="D10">
        <f>C10*E4</f>
        <v>24.8</v>
      </c>
    </row>
    <row r="11" spans="1:6" x14ac:dyDescent="0.4">
      <c r="A11" t="s">
        <v>48</v>
      </c>
      <c r="B11" t="s">
        <v>67</v>
      </c>
      <c r="C11">
        <f t="shared" ref="C11:C13" si="0">C5*$A$9</f>
        <v>40</v>
      </c>
      <c r="D11">
        <f t="shared" ref="D11:D13" si="1">C11*E5</f>
        <v>2.52</v>
      </c>
    </row>
    <row r="12" spans="1:6" x14ac:dyDescent="0.4">
      <c r="A12" t="s">
        <v>49</v>
      </c>
      <c r="B12" t="s">
        <v>66</v>
      </c>
      <c r="C12">
        <f t="shared" si="0"/>
        <v>20</v>
      </c>
      <c r="D12">
        <f t="shared" si="1"/>
        <v>12.8</v>
      </c>
    </row>
    <row r="13" spans="1:6" x14ac:dyDescent="0.4">
      <c r="A13" t="s">
        <v>50</v>
      </c>
      <c r="B13" t="s">
        <v>68</v>
      </c>
      <c r="C13">
        <f t="shared" si="0"/>
        <v>40</v>
      </c>
      <c r="D13">
        <f t="shared" si="1"/>
        <v>1.6</v>
      </c>
    </row>
    <row r="15" spans="1:6" x14ac:dyDescent="0.4">
      <c r="C15" t="s">
        <v>74</v>
      </c>
      <c r="D15">
        <f>SUM(D10:D13)</f>
        <v>41.720000000000006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CA2A-61E6-4BDB-9373-35FF68516285}">
  <dimension ref="A5:C7"/>
  <sheetViews>
    <sheetView workbookViewId="0">
      <selection activeCell="A7" sqref="A7"/>
    </sheetView>
  </sheetViews>
  <sheetFormatPr defaultRowHeight="14.6" x14ac:dyDescent="0.4"/>
  <sheetData>
    <row r="5" spans="1:3" x14ac:dyDescent="0.4">
      <c r="A5" t="s">
        <v>62</v>
      </c>
      <c r="B5" t="s">
        <v>61</v>
      </c>
      <c r="C5" t="s">
        <v>64</v>
      </c>
    </row>
    <row r="6" spans="1:3" x14ac:dyDescent="0.4">
      <c r="A6" t="s">
        <v>60</v>
      </c>
      <c r="B6" t="s">
        <v>61</v>
      </c>
      <c r="C6" t="s">
        <v>63</v>
      </c>
    </row>
    <row r="7" spans="1:3" x14ac:dyDescent="0.4">
      <c r="A7" t="s">
        <v>57</v>
      </c>
      <c r="B7" t="s">
        <v>58</v>
      </c>
      <c r="C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8E8-3CA9-4428-8AA9-17BFFC6FD582}">
  <dimension ref="A2:C9"/>
  <sheetViews>
    <sheetView tabSelected="1" workbookViewId="0">
      <selection activeCell="F8" sqref="F8"/>
    </sheetView>
  </sheetViews>
  <sheetFormatPr defaultRowHeight="14.6" x14ac:dyDescent="0.4"/>
  <sheetData>
    <row r="2" spans="1:3" x14ac:dyDescent="0.4">
      <c r="A2" t="s">
        <v>11</v>
      </c>
      <c r="B2" t="s">
        <v>75</v>
      </c>
    </row>
    <row r="3" spans="1:3" x14ac:dyDescent="0.4">
      <c r="A3" t="s">
        <v>12</v>
      </c>
      <c r="B3" t="s">
        <v>75</v>
      </c>
    </row>
    <row r="4" spans="1:3" x14ac:dyDescent="0.4">
      <c r="A4" t="s">
        <v>13</v>
      </c>
      <c r="B4" t="s">
        <v>78</v>
      </c>
      <c r="C4">
        <v>4</v>
      </c>
    </row>
    <row r="5" spans="1:3" x14ac:dyDescent="0.4">
      <c r="B5" t="s">
        <v>79</v>
      </c>
      <c r="C5">
        <v>36</v>
      </c>
    </row>
    <row r="6" spans="1:3" x14ac:dyDescent="0.4">
      <c r="A6" t="s">
        <v>14</v>
      </c>
      <c r="B6" t="s">
        <v>45</v>
      </c>
    </row>
    <row r="8" spans="1:3" x14ac:dyDescent="0.4">
      <c r="A8" t="s">
        <v>76</v>
      </c>
      <c r="B8" t="s">
        <v>81</v>
      </c>
      <c r="C8">
        <v>5</v>
      </c>
    </row>
    <row r="9" spans="1:3" x14ac:dyDescent="0.4">
      <c r="A9" t="s">
        <v>77</v>
      </c>
      <c r="B9" t="s">
        <v>80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External</vt:lpstr>
      <vt:lpstr>CAN BUS</vt:lpstr>
      <vt:lpstr>Sheet2</vt:lpstr>
      <vt:lpstr>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Heredia-Jantz</dc:creator>
  <cp:lastModifiedBy>Rudy P Heredia-Jantz</cp:lastModifiedBy>
  <dcterms:created xsi:type="dcterms:W3CDTF">2015-06-05T18:17:20Z</dcterms:created>
  <dcterms:modified xsi:type="dcterms:W3CDTF">2026-06-23T20:34:47Z</dcterms:modified>
</cp:coreProperties>
</file>